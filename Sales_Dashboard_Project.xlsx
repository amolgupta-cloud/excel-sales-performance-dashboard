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72d1f6302e6883/Documents/"/>
    </mc:Choice>
  </mc:AlternateContent>
  <xr:revisionPtr revIDLastSave="8" documentId="8_{DB7C3BFA-3872-4545-97DB-71AAC745C92C}" xr6:coauthVersionLast="47" xr6:coauthVersionMax="47" xr10:uidLastSave="{B4B9A3A7-E791-4222-A87D-6B450009E1A3}"/>
  <bookViews>
    <workbookView xWindow="-110" yWindow="-110" windowWidth="19420" windowHeight="10300" activeTab="1" xr2:uid="{4DBE150F-9AB1-4C92-89EE-C0D67B53E953}"/>
  </bookViews>
  <sheets>
    <sheet name="Product Analysis" sheetId="3" r:id="rId1"/>
    <sheet name="Region Analysis" sheetId="4" r:id="rId2"/>
    <sheet name="Salesperson Analysis" sheetId="5" r:id="rId3"/>
    <sheet name="Sales Data" sheetId="1" r:id="rId4"/>
    <sheet name="Dashboard" sheetId="2" r:id="rId5"/>
  </sheets>
  <calcPr calcId="19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G4" i="2"/>
  <c r="E4" i="2"/>
  <c r="C4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<sst xmlns="http://schemas.openxmlformats.org/spreadsheetml/2006/main" count="85" uniqueCount="34">
  <si>
    <t>Order ID</t>
  </si>
  <si>
    <t>Date</t>
  </si>
  <si>
    <t>Salesperson</t>
  </si>
  <si>
    <t>Region</t>
  </si>
  <si>
    <t>Product</t>
  </si>
  <si>
    <t>Quantity</t>
  </si>
  <si>
    <t>Unit Price</t>
  </si>
  <si>
    <t>Rahul</t>
  </si>
  <si>
    <t>Mumbai</t>
  </si>
  <si>
    <t>Laptop</t>
  </si>
  <si>
    <t>Priya</t>
  </si>
  <si>
    <t>Pune</t>
  </si>
  <si>
    <t>Phone</t>
  </si>
  <si>
    <t>Amit</t>
  </si>
  <si>
    <t>Headphones</t>
  </si>
  <si>
    <t>Sneha</t>
  </si>
  <si>
    <t>Delhi</t>
  </si>
  <si>
    <t>Monitor</t>
  </si>
  <si>
    <t>Keyboard</t>
  </si>
  <si>
    <t>14/01/2026</t>
  </si>
  <si>
    <t>16/01/2026</t>
  </si>
  <si>
    <t>18/01/2026</t>
  </si>
  <si>
    <t>20/01/2026</t>
  </si>
  <si>
    <t>22/01/2026</t>
  </si>
  <si>
    <t>25/01/2026</t>
  </si>
  <si>
    <t>Total Sales</t>
  </si>
  <si>
    <t>Total Units Sold</t>
  </si>
  <si>
    <t>Average Order Value</t>
  </si>
  <si>
    <t xml:space="preserve">        SALES PERFORMANCE DASHBOARD</t>
  </si>
  <si>
    <t xml:space="preserve">   Total Revenue</t>
  </si>
  <si>
    <t xml:space="preserve"> Total Orders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</si>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</sst>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" fillId="3" borderId="2" xfId="0" applyFont="1" applyFill="1" applyBorder="1"/>
  </cellXfs>
  <cellStyles count="1">
    <cellStyle name="Normal" xfId="0" builtinId="0"/>
  </cellStyles>
  <dxfs count="10">
    <dxf>
      <numFmt numFmtId="164" formatCode="_ [$₹-4009]\ * #,##0.00_ ;_ [$₹-4009]\ * \-#,##0.00_ ;_ [$₹-4009]\ * &quot;-&quot;??_ ;_ @_ "/>
      <alignment horizontal="center" vertical="bottom" textRotation="0" wrapText="0" indent="0" justifyLastLine="0" shrinkToFit="0" readingOrder="0"/>
    </dxf>
    <dxf>
      <numFmt numFmtId="164" formatCode="_ [$₹-4009]\ * #,##0.00_ ;_ [$₹-4009]\ * \-#,##0.00_ ;_ [$₹-4009]\ * &quot;-&quot;??_ ;_ @_ 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[Sales_Dashboard_Project.xlsx.xlsx]Product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Analysis'!$A$4:$A$9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</c:strCache>
            </c:strRef>
          </c:cat>
          <c:val>
            <c:numRef>
              <c:f>'Product Analysis'!$B$4:$B$9</c:f>
              <c:numCache>
                <c:formatCode>_ [$₹-4009]\ * #,##0.00_ ;_ [$₹-4009]\ * \-#,##0.00_ ;_ [$₹-4009]\ * "-"??_ ;_ @_ </c:formatCode>
                <c:ptCount val="5"/>
                <c:pt idx="0">
                  <c:v>112500</c:v>
                </c:pt>
                <c:pt idx="1">
                  <c:v>54000</c:v>
                </c:pt>
                <c:pt idx="2">
                  <c:v>275000</c:v>
                </c:pt>
                <c:pt idx="3">
                  <c:v>144000</c:v>
                </c:pt>
                <c:pt idx="4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0-4BAB-8829-F0E892E5F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731519"/>
        <c:axId val="757813935"/>
      </c:barChart>
      <c:catAx>
        <c:axId val="122473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13935"/>
        <c:crosses val="autoZero"/>
        <c:auto val="1"/>
        <c:lblAlgn val="ctr"/>
        <c:lblOffset val="100"/>
        <c:noMultiLvlLbl val="0"/>
      </c:catAx>
      <c:valAx>
        <c:axId val="75781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73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[Sales_Dashboard_Project.xlsx.xlsx]Region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Analysis'!$A$4:$A$7</c:f>
              <c:strCache>
                <c:ptCount val="3"/>
                <c:pt idx="0">
                  <c:v>Delhi</c:v>
                </c:pt>
                <c:pt idx="1">
                  <c:v>Mumbai</c:v>
                </c:pt>
                <c:pt idx="2">
                  <c:v>Pune</c:v>
                </c:pt>
              </c:strCache>
            </c:strRef>
          </c:cat>
          <c:val>
            <c:numRef>
              <c:f>'Region Analysis'!$B$4:$B$7</c:f>
              <c:numCache>
                <c:formatCode>_ [$₹-4009]\ * #,##0.00_ ;_ [$₹-4009]\ * \-#,##0.00_ ;_ [$₹-4009]\ * "-"??_ ;_ @_ </c:formatCode>
                <c:ptCount val="3"/>
                <c:pt idx="0">
                  <c:v>194600</c:v>
                </c:pt>
                <c:pt idx="1">
                  <c:v>368000</c:v>
                </c:pt>
                <c:pt idx="2">
                  <c:v>322900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4-46CE-89FC-F5691EF31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9271183"/>
        <c:axId val="552557583"/>
      </c:barChart>
      <c:catAx>
        <c:axId val="121927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57583"/>
        <c:crosses val="autoZero"/>
        <c:auto val="1"/>
        <c:lblAlgn val="ctr"/>
        <c:lblOffset val="100"/>
        <c:noMultiLvlLbl val="0"/>
      </c:catAx>
      <c:valAx>
        <c:axId val="55255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7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[Sales_Dashboard_Project.xlsx.xlsx]Salesperson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 by Salesperson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'Salesperson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'Salesperson Analysis'!$A$4:$A$8</c:f>
              <c:strCache>
                <c:ptCount val="4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Sneha</c:v>
                </c:pt>
              </c:strCache>
            </c:strRef>
          </c:cat>
          <c:val>
            <c:numRef>
              <c:f>'Salesperson Analysis'!$B$4:$B$8</c:f>
              <c:numCache>
                <c:formatCode>_ [$₹-4009]\ * #,##0.00_ ;_ [$₹-4009]\ * \-#,##0.00_ ;_ [$₹-4009]\ * "-"??_ ;_ @_ </c:formatCode>
                <c:ptCount val="4"/>
                <c:pt idx="0">
                  <c:v>228000</c:v>
                </c:pt>
                <c:pt idx="1">
                  <c:v>237600</c:v>
                </c:pt>
                <c:pt idx="2">
                  <c:v>234400</c:v>
                </c:pt>
                <c:pt idx="3">
                  <c:v>185500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0-4BD5-A6DB-5AC18D00B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920879"/>
        <c:axId val="552556623"/>
      </c:barChart>
      <c:catAx>
        <c:axId val="135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56623"/>
        <c:crosses val="autoZero"/>
        <c:auto val="1"/>
        <c:lblAlgn val="ctr"/>
        <c:lblOffset val="100"/>
        <c:noMultiLvlLbl val="0"/>
      </c:catAx>
      <c:valAx>
        <c:axId val="55255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[Sales_Dashboard_Project.xlsx.xlsx]Product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Analysis'!$A$4:$A$9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</c:strCache>
            </c:strRef>
          </c:cat>
          <c:val>
            <c:numRef>
              <c:f>'Product Analysis'!$B$4:$B$9</c:f>
              <c:numCache>
                <c:formatCode>_ [$₹-4009]\ * #,##0.00_ ;_ [$₹-4009]\ * \-#,##0.00_ ;_ [$₹-4009]\ * "-"??_ ;_ @_ </c:formatCode>
                <c:ptCount val="5"/>
                <c:pt idx="0">
                  <c:v>112500</c:v>
                </c:pt>
                <c:pt idx="1">
                  <c:v>54000</c:v>
                </c:pt>
                <c:pt idx="2">
                  <c:v>275000</c:v>
                </c:pt>
                <c:pt idx="3">
                  <c:v>144000</c:v>
                </c:pt>
                <c:pt idx="4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2-417D-866D-93421D297E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4731519"/>
        <c:axId val="757813935"/>
      </c:barChart>
      <c:catAx>
        <c:axId val="122473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13935"/>
        <c:crosses val="autoZero"/>
        <c:auto val="1"/>
        <c:lblAlgn val="ctr"/>
        <c:lblOffset val="100"/>
        <c:noMultiLvlLbl val="0"/>
      </c:catAx>
      <c:valAx>
        <c:axId val="75781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73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[Sales_Dashboard_Project.xlsx.xlsx]Region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Analysis'!$A$4:$A$7</c:f>
              <c:strCache>
                <c:ptCount val="3"/>
                <c:pt idx="0">
                  <c:v>Delhi</c:v>
                </c:pt>
                <c:pt idx="1">
                  <c:v>Mumbai</c:v>
                </c:pt>
                <c:pt idx="2">
                  <c:v>Pune</c:v>
                </c:pt>
              </c:strCache>
            </c:strRef>
          </c:cat>
          <c:val>
            <c:numRef>
              <c:f>'Region Analysis'!$B$4:$B$7</c:f>
              <c:numCache>
                <c:formatCode>_ [$₹-4009]\ * #,##0.00_ ;_ [$₹-4009]\ * \-#,##0.00_ ;_ [$₹-4009]\ * "-"??_ ;_ @_ </c:formatCode>
                <c:ptCount val="3"/>
                <c:pt idx="0">
                  <c:v>194600</c:v>
                </c:pt>
                <c:pt idx="1">
                  <c:v>368000</c:v>
                </c:pt>
                <c:pt idx="2">
                  <c:v>322900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4-46A4-925D-9BD02CD4FA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9271183"/>
        <c:axId val="552557583"/>
      </c:barChart>
      <c:catAx>
        <c:axId val="121927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57583"/>
        <c:crosses val="autoZero"/>
        <c:auto val="1"/>
        <c:lblAlgn val="ctr"/>
        <c:lblOffset val="100"/>
        <c:noMultiLvlLbl val="0"/>
      </c:catAx>
      <c:valAx>
        <c:axId val="55255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7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[Sales_Dashboard_Project.xlsx.xlsx]Salesperson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 by Salesperson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'Salesperson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'Salesperson Analysis'!$A$4:$A$8</c:f>
              <c:strCache>
                <c:ptCount val="4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Sneha</c:v>
                </c:pt>
              </c:strCache>
            </c:strRef>
          </c:cat>
          <c:val>
            <c:numRef>
              <c:f>'Salesperson Analysis'!$B$4:$B$8</c:f>
              <c:numCache>
                <c:formatCode>_ [$₹-4009]\ * #,##0.00_ ;_ [$₹-4009]\ * \-#,##0.00_ ;_ [$₹-4009]\ * "-"??_ ;_ @_ </c:formatCode>
                <c:ptCount val="4"/>
                <c:pt idx="0">
                  <c:v>228000</c:v>
                </c:pt>
                <c:pt idx="1">
                  <c:v>237600</c:v>
                </c:pt>
                <c:pt idx="2">
                  <c:v>234400</c:v>
                </c:pt>
                <c:pt idx="3">
                  <c:v>185500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E-41FD-A087-875E16530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920879"/>
        <c:axId val="552556623"/>
      </c:barChart>
      <c:catAx>
        <c:axId val="135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56623"/>
        <c:crosses val="autoZero"/>
        <c:auto val="1"/>
        <c:lblAlgn val="ctr"/>
        <c:lblOffset val="100"/>
        <c:noMultiLvlLbl val="0"/>
      </c:catAx>
      <c:valAx>
        <c:axId val="55255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2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1</xdr:row>
      <xdr:rowOff>98425</xdr:rowOff>
    </xdr:from>
    <xdr:to>
      <xdr:col>9</xdr:col>
      <xdr:colOff>558800</xdr:colOff>
      <xdr:row>16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B58BDB-4047-08DD-E148-43899CB52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2</xdr:row>
      <xdr:rowOff>3175</xdr:rowOff>
    </xdr:from>
    <xdr:to>
      <xdr:col>9</xdr:col>
      <xdr:colOff>584200</xdr:colOff>
      <xdr:row>16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E6508D-37AD-4D27-BD2D-422BBAD35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9525</xdr:rowOff>
    </xdr:from>
    <xdr:to>
      <xdr:col>9</xdr:col>
      <xdr:colOff>533400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AEE85-AC51-46EF-3B91-AD53496E5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127001</xdr:colOff>
      <xdr:row>5</xdr:row>
      <xdr:rowOff>26737</xdr:rowOff>
    </xdr:from>
    <xdr:to>
      <xdr:col>5</xdr:col>
      <xdr:colOff>1181583</xdr:colOff>
      <xdr:row>19</xdr:row>
      <xdr:rowOff>20053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D3A79-05A1-4EA0-97C2-3D702C1A0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225063</xdr:colOff>
      <xdr:row>5</xdr:row>
      <xdr:rowOff>31716</xdr:rowOff>
    </xdr:from>
    <xdr:to>
      <xdr:col>14</xdr:col>
      <xdr:colOff>479490</xdr:colOff>
      <xdr:row>18</xdr:row>
      <xdr:rowOff>142991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799E92-7EFC-4271-9012-C0912BFA9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517548</xdr:colOff>
      <xdr:row>20</xdr:row>
      <xdr:rowOff>163875</xdr:rowOff>
    </xdr:from>
    <xdr:to>
      <xdr:col>9</xdr:col>
      <xdr:colOff>0</xdr:colOff>
      <xdr:row>35</xdr:row>
      <xdr:rowOff>151600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566853-177B-4F50-B6F8-10F7C8ADA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65.784524884257" createdVersion="8" refreshedVersion="8" minRefreshableVersion="3" recordCount="15" xr:uid="{8671C644-D978-403E-A808-BFB59C9E2AAE}">
  <cacheSource type="worksheet">
    <worksheetSource name="SalesTable"/>
  </cacheSource>
  <cacheFields count="8">
    <cacheField name="Order ID" numFmtId="0">
      <sharedItems containsSemiMixedTypes="0" containsString="0" containsNumber="1" containsInteger="1" minValue="1001" maxValue="1015"/>
    </cacheField>
    <cacheField name="Date" numFmtId="0">
      <sharedItems containsDate="1" containsMixedTypes="1" minDate="2026-01-01T00:00:00" maxDate="2026-12-02T00:00:00"/>
    </cacheField>
    <cacheField name="Salesperson" numFmtId="0">
      <sharedItems count="4">
        <s v="Rahul"/>
        <s v="Priya"/>
        <s v="Amit"/>
        <s v="Sneha"/>
      </sharedItems>
    </cacheField>
    <cacheField name="Region" numFmtId="0">
      <sharedItems count="3">
        <s v="Mumbai"/>
        <s v="Pune"/>
        <s v="Delhi"/>
      </sharedItems>
    </cacheField>
    <cacheField name="Product" numFmtId="0">
      <sharedItems count="5">
        <s v="Laptop"/>
        <s v="Phone"/>
        <s v="Headphones"/>
        <s v="Monitor"/>
        <s v="Keyboard"/>
      </sharedItems>
    </cacheField>
    <cacheField name="Quantity" numFmtId="0">
      <sharedItems containsSemiMixedTypes="0" containsString="0" containsNumber="1" containsInteger="1" minValue="1" maxValue="20"/>
    </cacheField>
    <cacheField name="Unit Price" numFmtId="164">
      <sharedItems containsSemiMixedTypes="0" containsString="0" containsNumber="1" containsInteger="1" minValue="1800" maxValue="55000"/>
    </cacheField>
    <cacheField name="Total Sales" numFmtId="164">
      <sharedItems containsSemiMixedTypes="0" containsString="0" containsNumber="1" containsInteger="1" minValue="14400" maxValue="1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1"/>
    <d v="2026-01-01T00:00:00"/>
    <x v="0"/>
    <x v="0"/>
    <x v="0"/>
    <n v="2"/>
    <n v="55000"/>
    <n v="110000"/>
  </r>
  <r>
    <n v="1002"/>
    <d v="2026-02-01T00:00:00"/>
    <x v="1"/>
    <x v="1"/>
    <x v="1"/>
    <n v="5"/>
    <n v="25000"/>
    <n v="125000"/>
  </r>
  <r>
    <n v="1003"/>
    <d v="2026-03-01T00:00:00"/>
    <x v="2"/>
    <x v="0"/>
    <x v="2"/>
    <n v="10"/>
    <n v="2500"/>
    <n v="25000"/>
  </r>
  <r>
    <n v="1004"/>
    <d v="2026-04-01T00:00:00"/>
    <x v="3"/>
    <x v="2"/>
    <x v="3"/>
    <n v="4"/>
    <n v="12000"/>
    <n v="48000"/>
  </r>
  <r>
    <n v="1005"/>
    <d v="2026-05-01T00:00:00"/>
    <x v="0"/>
    <x v="1"/>
    <x v="4"/>
    <n v="8"/>
    <n v="1800"/>
    <n v="14400"/>
  </r>
  <r>
    <n v="1006"/>
    <d v="2026-07-01T00:00:00"/>
    <x v="1"/>
    <x v="0"/>
    <x v="0"/>
    <n v="1"/>
    <n v="55000"/>
    <n v="55000"/>
  </r>
  <r>
    <n v="1007"/>
    <d v="2026-09-01T00:00:00"/>
    <x v="2"/>
    <x v="2"/>
    <x v="1"/>
    <n v="3"/>
    <n v="25000"/>
    <n v="75000"/>
  </r>
  <r>
    <n v="1008"/>
    <d v="2026-10-01T00:00:00"/>
    <x v="3"/>
    <x v="1"/>
    <x v="2"/>
    <n v="15"/>
    <n v="2500"/>
    <n v="37500"/>
  </r>
  <r>
    <n v="1009"/>
    <d v="2026-12-01T00:00:00"/>
    <x v="0"/>
    <x v="0"/>
    <x v="3"/>
    <n v="5"/>
    <n v="12000"/>
    <n v="60000"/>
  </r>
  <r>
    <n v="1010"/>
    <s v="14/01/2026"/>
    <x v="1"/>
    <x v="2"/>
    <x v="4"/>
    <n v="12"/>
    <n v="1800"/>
    <n v="21600"/>
  </r>
  <r>
    <n v="1011"/>
    <s v="16/01/2026"/>
    <x v="2"/>
    <x v="1"/>
    <x v="0"/>
    <n v="2"/>
    <n v="55000"/>
    <n v="110000"/>
  </r>
  <r>
    <n v="1012"/>
    <s v="18/01/2026"/>
    <x v="3"/>
    <x v="0"/>
    <x v="1"/>
    <n v="4"/>
    <n v="25000"/>
    <n v="100000"/>
  </r>
  <r>
    <n v="1013"/>
    <s v="20/01/2026"/>
    <x v="0"/>
    <x v="2"/>
    <x v="2"/>
    <n v="20"/>
    <n v="2500"/>
    <n v="50000"/>
  </r>
  <r>
    <n v="1014"/>
    <s v="22/01/2026"/>
    <x v="1"/>
    <x v="1"/>
    <x v="3"/>
    <n v="3"/>
    <n v="12000"/>
    <n v="36000"/>
  </r>
  <r>
    <n v="1015"/>
    <s v="25/01/2026"/>
    <x v="2"/>
    <x v="0"/>
    <x v="4"/>
    <n v="10"/>
    <n v="1800"/>
    <n v="1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D4D7E-B14C-4D36-851E-D2253E729FE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8">
    <pivotField showAll="0"/>
    <pivotField showAll="0"/>
    <pivotField showAll="0"/>
    <pivotField showAll="0"/>
    <pivotField axis="axisRow" showAll="0">
      <items count="6">
        <item x="2"/>
        <item x="4"/>
        <item x="0"/>
        <item x="3"/>
        <item x="1"/>
        <item t="default"/>
      </items>
    </pivotField>
    <pivotField showAll="0"/>
    <pivotField numFmtId="164" showAll="0"/>
    <pivotField dataField="1" numFmtId="164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5FC0B-D551-43C6-BB7A-F3CA32A92B3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8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64" showAll="0"/>
    <pivotField dataField="1" numFmtId="164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67B21-1EE5-4D52-8139-3FB3ED909E79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8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numFmtId="164" showAll="0"/>
    <pivotField dataField="1" numFmtId="16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A1AAA-1577-4C9F-8C68-8E2C848D3FA2}" name="SalesTable" displayName="SalesTable" ref="A1:H16" totalsRowShown="0" headerRowDxfId="9" dataDxfId="8">
  <autoFilter ref="A1:H16" xr:uid="{51FA1AAA-1577-4C9F-8C68-8E2C848D3FA2}"/>
  <tableColumns count="8">
    <tableColumn id="1" xr3:uid="{CD9DA123-CDF6-4227-8F02-D67ED0143EC5}" name="Order ID" dataDxfId="7"/>
    <tableColumn id="2" xr3:uid="{A10175B6-B509-48D2-B822-5CAE2D91BAC9}" name="Date" dataDxfId="6"/>
    <tableColumn id="3" xr3:uid="{ADEB5CAF-AF60-45F5-A32D-DA6C35805766}" name="Salesperson" dataDxfId="5"/>
    <tableColumn id="4" xr3:uid="{1B23144A-DAEB-4825-B89E-1DBF75338CCC}" name="Region" dataDxfId="4"/>
    <tableColumn id="5" xr3:uid="{CB6BC69A-6368-48A2-AEB8-54767B7579D5}" name="Product" dataDxfId="3"/>
    <tableColumn id="6" xr3:uid="{A1D7348C-CB6F-436E-89A4-1DA6605F97C9}" name="Quantity" dataDxfId="2"/>
    <tableColumn id="7" xr3:uid="{CC6713E8-459B-46AC-A774-72FE6093B2EF}" name="Unit Price" dataDxfId="1"/>
    <tableColumn id="8" xr3:uid="{D4F367D3-FD3E-4C4A-B990-27505DAEDAB8}" name="Total Sales" dataDxfId="0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CBF69-1A2D-48B2-BD3A-951608F5FDBB}">
  <dimension ref="A3:B9"/>
  <sheetViews>
    <sheetView workbookViewId="0">
      <selection activeCell="L7" sqref="L7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8" t="s">
        <v>31</v>
      </c>
      <c r="B3" t="s">
        <v>33</v>
      </c>
    </row>
    <row r="4" spans="1:2" x14ac:dyDescent="0.35">
      <c r="A4" s="9" t="s">
        <v>14</v>
      </c>
      <c r="B4" s="7">
        <v>112500</v>
      </c>
    </row>
    <row r="5" spans="1:2" x14ac:dyDescent="0.35">
      <c r="A5" s="9" t="s">
        <v>18</v>
      </c>
      <c r="B5" s="7">
        <v>54000</v>
      </c>
    </row>
    <row r="6" spans="1:2" x14ac:dyDescent="0.35">
      <c r="A6" s="9" t="s">
        <v>9</v>
      </c>
      <c r="B6" s="7">
        <v>275000</v>
      </c>
    </row>
    <row r="7" spans="1:2" x14ac:dyDescent="0.35">
      <c r="A7" s="9" t="s">
        <v>17</v>
      </c>
      <c r="B7" s="7">
        <v>144000</v>
      </c>
    </row>
    <row r="8" spans="1:2" x14ac:dyDescent="0.35">
      <c r="A8" s="9" t="s">
        <v>12</v>
      </c>
      <c r="B8" s="7">
        <v>300000</v>
      </c>
    </row>
    <row r="9" spans="1:2" x14ac:dyDescent="0.35">
      <c r="A9" s="9" t="s">
        <v>32</v>
      </c>
      <c r="B9" s="7">
        <v>885500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E5E5-D7F9-40DC-8DBB-0351848CC38C}">
  <dimension ref="A3:B7"/>
  <sheetViews>
    <sheetView tabSelected="1" workbookViewId="0">
      <selection activeCell="M16" sqref="M16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8" t="s">
        <v>31</v>
      </c>
      <c r="B3" t="s">
        <v>33</v>
      </c>
    </row>
    <row r="4" spans="1:2" x14ac:dyDescent="0.35">
      <c r="A4" s="9" t="s">
        <v>16</v>
      </c>
      <c r="B4" s="7">
        <v>194600</v>
      </c>
    </row>
    <row r="5" spans="1:2" x14ac:dyDescent="0.35">
      <c r="A5" s="9" t="s">
        <v>8</v>
      </c>
      <c r="B5" s="7">
        <v>368000</v>
      </c>
    </row>
    <row r="6" spans="1:2" x14ac:dyDescent="0.35">
      <c r="A6" s="9" t="s">
        <v>11</v>
      </c>
      <c r="B6" s="7">
        <v>322900</v>
      </c>
    </row>
    <row r="7" spans="1:2" x14ac:dyDescent="0.35">
      <c r="A7" s="9" t="s">
        <v>32</v>
      </c>
      <c r="B7" s="7">
        <v>885500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8800-3E8D-4415-A5CA-65E0264505B5}">
  <dimension ref="A3:B8"/>
  <sheetViews>
    <sheetView workbookViewId="0">
      <selection activeCell="H19" sqref="H19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8" t="s">
        <v>31</v>
      </c>
      <c r="B3" t="s">
        <v>33</v>
      </c>
    </row>
    <row r="4" spans="1:2" x14ac:dyDescent="0.35">
      <c r="A4" s="9" t="s">
        <v>13</v>
      </c>
      <c r="B4" s="7">
        <v>228000</v>
      </c>
    </row>
    <row r="5" spans="1:2" x14ac:dyDescent="0.35">
      <c r="A5" s="9" t="s">
        <v>10</v>
      </c>
      <c r="B5" s="7">
        <v>237600</v>
      </c>
    </row>
    <row r="6" spans="1:2" x14ac:dyDescent="0.35">
      <c r="A6" s="9" t="s">
        <v>7</v>
      </c>
      <c r="B6" s="7">
        <v>234400</v>
      </c>
    </row>
    <row r="7" spans="1:2" x14ac:dyDescent="0.35">
      <c r="A7" s="9" t="s">
        <v>15</v>
      </c>
      <c r="B7" s="7">
        <v>185500</v>
      </c>
    </row>
    <row r="8" spans="1:2" x14ac:dyDescent="0.35">
      <c r="A8" s="9" t="s">
        <v>32</v>
      </c>
      <c r="B8" s="7">
        <v>885500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2F03-53FB-4D17-AFD3-3F6070950C75}">
  <dimension ref="A1:H16"/>
  <sheetViews>
    <sheetView zoomScaleNormal="100" workbookViewId="0">
      <selection activeCell="K14" sqref="K14"/>
    </sheetView>
  </sheetViews>
  <sheetFormatPr defaultRowHeight="14.5" x14ac:dyDescent="0.35"/>
  <cols>
    <col min="1" max="1" width="10.1796875" customWidth="1"/>
    <col min="2" max="2" width="11.6328125" customWidth="1"/>
    <col min="3" max="3" width="12.81640625" customWidth="1"/>
    <col min="4" max="4" width="9.08984375" customWidth="1"/>
    <col min="5" max="5" width="11.1796875" customWidth="1"/>
    <col min="6" max="6" width="10.1796875" customWidth="1"/>
    <col min="7" max="7" width="12.7265625" customWidth="1"/>
    <col min="8" max="8" width="14.54296875" customWidth="1"/>
  </cols>
  <sheetData>
    <row r="1" spans="1:8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25</v>
      </c>
    </row>
    <row r="2" spans="1:8" x14ac:dyDescent="0.35">
      <c r="A2" s="1">
        <v>1001</v>
      </c>
      <c r="B2" s="4">
        <v>46023</v>
      </c>
      <c r="C2" s="1" t="s">
        <v>7</v>
      </c>
      <c r="D2" s="1" t="s">
        <v>8</v>
      </c>
      <c r="E2" s="1" t="s">
        <v>9</v>
      </c>
      <c r="F2" s="1">
        <v>2</v>
      </c>
      <c r="G2" s="5">
        <v>55000</v>
      </c>
      <c r="H2" s="6">
        <f>F2*G2</f>
        <v>110000</v>
      </c>
    </row>
    <row r="3" spans="1:8" x14ac:dyDescent="0.35">
      <c r="A3" s="1">
        <v>1002</v>
      </c>
      <c r="B3" s="4">
        <v>46054</v>
      </c>
      <c r="C3" s="1" t="s">
        <v>10</v>
      </c>
      <c r="D3" s="1" t="s">
        <v>11</v>
      </c>
      <c r="E3" s="1" t="s">
        <v>12</v>
      </c>
      <c r="F3" s="1">
        <v>5</v>
      </c>
      <c r="G3" s="5">
        <v>25000</v>
      </c>
      <c r="H3" s="6">
        <f t="shared" ref="H3:H16" si="0">F3*G3</f>
        <v>125000</v>
      </c>
    </row>
    <row r="4" spans="1:8" ht="23" customHeight="1" x14ac:dyDescent="0.35">
      <c r="A4" s="1">
        <v>1003</v>
      </c>
      <c r="B4" s="4">
        <v>46082</v>
      </c>
      <c r="C4" s="1" t="s">
        <v>13</v>
      </c>
      <c r="D4" s="1" t="s">
        <v>8</v>
      </c>
      <c r="E4" s="1" t="s">
        <v>14</v>
      </c>
      <c r="F4" s="1">
        <v>10</v>
      </c>
      <c r="G4" s="5">
        <v>2500</v>
      </c>
      <c r="H4" s="6">
        <f t="shared" si="0"/>
        <v>25000</v>
      </c>
    </row>
    <row r="5" spans="1:8" x14ac:dyDescent="0.35">
      <c r="A5" s="1">
        <v>1004</v>
      </c>
      <c r="B5" s="4">
        <v>46113</v>
      </c>
      <c r="C5" s="1" t="s">
        <v>15</v>
      </c>
      <c r="D5" s="1" t="s">
        <v>16</v>
      </c>
      <c r="E5" s="1" t="s">
        <v>17</v>
      </c>
      <c r="F5" s="1">
        <v>4</v>
      </c>
      <c r="G5" s="5">
        <v>12000</v>
      </c>
      <c r="H5" s="6">
        <f t="shared" si="0"/>
        <v>48000</v>
      </c>
    </row>
    <row r="6" spans="1:8" x14ac:dyDescent="0.35">
      <c r="A6" s="1">
        <v>1005</v>
      </c>
      <c r="B6" s="4">
        <v>46143</v>
      </c>
      <c r="C6" s="1" t="s">
        <v>7</v>
      </c>
      <c r="D6" s="1" t="s">
        <v>11</v>
      </c>
      <c r="E6" s="1" t="s">
        <v>18</v>
      </c>
      <c r="F6" s="1">
        <v>8</v>
      </c>
      <c r="G6" s="5">
        <v>1800</v>
      </c>
      <c r="H6" s="6">
        <f t="shared" si="0"/>
        <v>14400</v>
      </c>
    </row>
    <row r="7" spans="1:8" x14ac:dyDescent="0.35">
      <c r="A7" s="1">
        <v>1006</v>
      </c>
      <c r="B7" s="4">
        <v>46204</v>
      </c>
      <c r="C7" s="1" t="s">
        <v>10</v>
      </c>
      <c r="D7" s="1" t="s">
        <v>8</v>
      </c>
      <c r="E7" s="1" t="s">
        <v>9</v>
      </c>
      <c r="F7" s="1">
        <v>1</v>
      </c>
      <c r="G7" s="5">
        <v>55000</v>
      </c>
      <c r="H7" s="6">
        <f t="shared" si="0"/>
        <v>55000</v>
      </c>
    </row>
    <row r="8" spans="1:8" x14ac:dyDescent="0.35">
      <c r="A8" s="1">
        <v>1007</v>
      </c>
      <c r="B8" s="4">
        <v>46266</v>
      </c>
      <c r="C8" s="1" t="s">
        <v>13</v>
      </c>
      <c r="D8" s="1" t="s">
        <v>16</v>
      </c>
      <c r="E8" s="1" t="s">
        <v>12</v>
      </c>
      <c r="F8" s="1">
        <v>3</v>
      </c>
      <c r="G8" s="5">
        <v>25000</v>
      </c>
      <c r="H8" s="6">
        <f t="shared" si="0"/>
        <v>75000</v>
      </c>
    </row>
    <row r="9" spans="1:8" ht="29" x14ac:dyDescent="0.35">
      <c r="A9" s="1">
        <v>1008</v>
      </c>
      <c r="B9" s="4">
        <v>46296</v>
      </c>
      <c r="C9" s="1" t="s">
        <v>15</v>
      </c>
      <c r="D9" s="1" t="s">
        <v>11</v>
      </c>
      <c r="E9" s="1" t="s">
        <v>14</v>
      </c>
      <c r="F9" s="1">
        <v>15</v>
      </c>
      <c r="G9" s="5">
        <v>2500</v>
      </c>
      <c r="H9" s="6">
        <f t="shared" si="0"/>
        <v>37500</v>
      </c>
    </row>
    <row r="10" spans="1:8" x14ac:dyDescent="0.35">
      <c r="A10" s="1">
        <v>1009</v>
      </c>
      <c r="B10" s="4">
        <v>46357</v>
      </c>
      <c r="C10" s="1" t="s">
        <v>7</v>
      </c>
      <c r="D10" s="1" t="s">
        <v>8</v>
      </c>
      <c r="E10" s="1" t="s">
        <v>17</v>
      </c>
      <c r="F10" s="1">
        <v>5</v>
      </c>
      <c r="G10" s="5">
        <v>12000</v>
      </c>
      <c r="H10" s="6">
        <f t="shared" si="0"/>
        <v>60000</v>
      </c>
    </row>
    <row r="11" spans="1:8" x14ac:dyDescent="0.35">
      <c r="A11" s="1">
        <v>1010</v>
      </c>
      <c r="B11" s="1" t="s">
        <v>19</v>
      </c>
      <c r="C11" s="1" t="s">
        <v>10</v>
      </c>
      <c r="D11" s="1" t="s">
        <v>16</v>
      </c>
      <c r="E11" s="1" t="s">
        <v>18</v>
      </c>
      <c r="F11" s="1">
        <v>12</v>
      </c>
      <c r="G11" s="5">
        <v>1800</v>
      </c>
      <c r="H11" s="6">
        <f t="shared" si="0"/>
        <v>21600</v>
      </c>
    </row>
    <row r="12" spans="1:8" x14ac:dyDescent="0.35">
      <c r="A12" s="1">
        <v>1011</v>
      </c>
      <c r="B12" s="1" t="s">
        <v>20</v>
      </c>
      <c r="C12" s="1" t="s">
        <v>13</v>
      </c>
      <c r="D12" s="1" t="s">
        <v>11</v>
      </c>
      <c r="E12" s="1" t="s">
        <v>9</v>
      </c>
      <c r="F12" s="1">
        <v>2</v>
      </c>
      <c r="G12" s="5">
        <v>55000</v>
      </c>
      <c r="H12" s="6">
        <f t="shared" si="0"/>
        <v>110000</v>
      </c>
    </row>
    <row r="13" spans="1:8" x14ac:dyDescent="0.35">
      <c r="A13" s="1">
        <v>1012</v>
      </c>
      <c r="B13" s="1" t="s">
        <v>21</v>
      </c>
      <c r="C13" s="1" t="s">
        <v>15</v>
      </c>
      <c r="D13" s="1" t="s">
        <v>8</v>
      </c>
      <c r="E13" s="1" t="s">
        <v>12</v>
      </c>
      <c r="F13" s="1">
        <v>4</v>
      </c>
      <c r="G13" s="5">
        <v>25000</v>
      </c>
      <c r="H13" s="6">
        <f t="shared" si="0"/>
        <v>100000</v>
      </c>
    </row>
    <row r="14" spans="1:8" ht="29" x14ac:dyDescent="0.35">
      <c r="A14" s="1">
        <v>1013</v>
      </c>
      <c r="B14" s="1" t="s">
        <v>22</v>
      </c>
      <c r="C14" s="1" t="s">
        <v>7</v>
      </c>
      <c r="D14" s="1" t="s">
        <v>16</v>
      </c>
      <c r="E14" s="1" t="s">
        <v>14</v>
      </c>
      <c r="F14" s="1">
        <v>20</v>
      </c>
      <c r="G14" s="5">
        <v>2500</v>
      </c>
      <c r="H14" s="6">
        <f t="shared" si="0"/>
        <v>50000</v>
      </c>
    </row>
    <row r="15" spans="1:8" x14ac:dyDescent="0.35">
      <c r="A15" s="1">
        <v>1014</v>
      </c>
      <c r="B15" s="1" t="s">
        <v>23</v>
      </c>
      <c r="C15" s="1" t="s">
        <v>10</v>
      </c>
      <c r="D15" s="1" t="s">
        <v>11</v>
      </c>
      <c r="E15" s="1" t="s">
        <v>17</v>
      </c>
      <c r="F15" s="1">
        <v>3</v>
      </c>
      <c r="G15" s="5">
        <v>12000</v>
      </c>
      <c r="H15" s="6">
        <f t="shared" si="0"/>
        <v>36000</v>
      </c>
    </row>
    <row r="16" spans="1:8" x14ac:dyDescent="0.35">
      <c r="A16" s="1">
        <v>1015</v>
      </c>
      <c r="B16" s="1" t="s">
        <v>24</v>
      </c>
      <c r="C16" s="1" t="s">
        <v>13</v>
      </c>
      <c r="D16" s="1" t="s">
        <v>8</v>
      </c>
      <c r="E16" s="1" t="s">
        <v>18</v>
      </c>
      <c r="F16" s="1">
        <v>10</v>
      </c>
      <c r="G16" s="5">
        <v>1800</v>
      </c>
      <c r="H16" s="6">
        <f t="shared" si="0"/>
        <v>18000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0AD3-4C1E-4526-B34E-2F708615EFB2}">
  <dimension ref="A1:H4"/>
  <sheetViews>
    <sheetView zoomScale="56" zoomScaleNormal="56" workbookViewId="0">
      <selection activeCell="N33" sqref="N33"/>
    </sheetView>
  </sheetViews>
  <sheetFormatPr defaultRowHeight="14.5" x14ac:dyDescent="0.35"/>
  <cols>
    <col min="1" max="1" width="23.453125" style="11" customWidth="1"/>
    <col min="2" max="2" width="19.26953125" style="11" customWidth="1"/>
    <col min="3" max="3" width="20.453125" style="11" customWidth="1"/>
    <col min="4" max="4" width="18.6328125" style="11" customWidth="1"/>
    <col min="5" max="5" width="23.54296875" style="11" customWidth="1"/>
    <col min="6" max="6" width="19.26953125" style="11" customWidth="1"/>
    <col min="7" max="7" width="24.90625" style="11" customWidth="1"/>
    <col min="8" max="16384" width="8.7265625" style="11"/>
  </cols>
  <sheetData>
    <row r="1" spans="1:8" ht="29" customHeight="1" x14ac:dyDescent="0.35">
      <c r="A1" s="10" t="s">
        <v>28</v>
      </c>
      <c r="B1" s="10"/>
      <c r="C1" s="10"/>
      <c r="D1" s="10"/>
      <c r="E1" s="10"/>
      <c r="F1" s="10"/>
      <c r="G1" s="10"/>
      <c r="H1" s="10"/>
    </row>
    <row r="2" spans="1:8" ht="15" thickBot="1" x14ac:dyDescent="0.4">
      <c r="A2" s="2"/>
    </row>
    <row r="3" spans="1:8" x14ac:dyDescent="0.35">
      <c r="A3" s="12" t="s">
        <v>29</v>
      </c>
      <c r="B3" s="13"/>
      <c r="C3" s="27" t="s">
        <v>26</v>
      </c>
      <c r="D3" s="14"/>
      <c r="E3" s="15" t="s">
        <v>30</v>
      </c>
      <c r="F3" s="16"/>
      <c r="G3" s="17" t="s">
        <v>27</v>
      </c>
      <c r="H3" s="18"/>
    </row>
    <row r="4" spans="1:8" ht="22.5" thickBot="1" x14ac:dyDescent="0.4">
      <c r="A4" s="19">
        <f>SUM(SalesTable[Total Sales])</f>
        <v>885500</v>
      </c>
      <c r="B4" s="20"/>
      <c r="C4" s="21">
        <f>SUM(SalesTable[Quantity])</f>
        <v>104</v>
      </c>
      <c r="D4" s="22"/>
      <c r="E4" s="23">
        <f>COUNTA(SalesTable[Order ID])</f>
        <v>15</v>
      </c>
      <c r="F4" s="24"/>
      <c r="G4" s="25">
        <f>AVERAGE(SalesTable[Total Sales])</f>
        <v>59033.333333333336</v>
      </c>
      <c r="H4" s="26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Analysis</vt:lpstr>
      <vt:lpstr>Region Analysis</vt:lpstr>
      <vt:lpstr>Salesperson Analysis</vt:lpstr>
      <vt:lpstr>Sales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GUPTA</dc:creator>
  <cp:lastModifiedBy>AMOL GUPTA</cp:lastModifiedBy>
  <dcterms:created xsi:type="dcterms:W3CDTF">2026-08-31T12:59:06Z</dcterms:created>
  <dcterms:modified xsi:type="dcterms:W3CDTF">2026-08-31T14:37:37Z</dcterms:modified>
</cp:coreProperties>
</file>